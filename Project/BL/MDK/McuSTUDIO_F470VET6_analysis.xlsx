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<sst xmlns="http://schemas.openxmlformats.org/spreadsheetml/2006/main" count="66" uniqueCount="49">
  <si>
    <t>McuSTUDIO_F470VET6</t>
  </si>
  <si>
    <t>startup_gd32f450_470.o</t>
  </si>
  <si>
    <t>bl_core.o</t>
  </si>
  <si>
    <t>mcu_cmic_gd32f470vet6.o</t>
  </si>
  <si>
    <t>usart_app.o</t>
  </si>
  <si>
    <t>oled.o</t>
  </si>
  <si>
    <t>gd32f4xx_it.o</t>
  </si>
  <si>
    <t>systick.o</t>
  </si>
  <si>
    <t>system_gd32f4xx.o</t>
  </si>
  <si>
    <t>mc_w.l</t>
  </si>
  <si>
    <t>printfa.o</t>
  </si>
  <si>
    <t>mf_w.l</t>
  </si>
  <si>
    <t>gd32f4xx_usart.o</t>
  </si>
  <si>
    <t>gd32f4xx_dma.o</t>
  </si>
  <si>
    <t>gd32f4xx_i2c.o</t>
  </si>
  <si>
    <t>gd32f4xx_fmc.o</t>
  </si>
  <si>
    <t>dadd.o</t>
  </si>
  <si>
    <t>gd32f4xx_rcu.o</t>
  </si>
  <si>
    <t>gd32f4xx_gpio.o</t>
  </si>
  <si>
    <t>gd32f4xx_misc.o</t>
  </si>
  <si>
    <t>dmul.o</t>
  </si>
  <si>
    <t>ddiv.o</t>
  </si>
  <si>
    <t>depilogue.o</t>
  </si>
  <si>
    <t>uldiv.o</t>
  </si>
  <si>
    <t>main.o</t>
  </si>
  <si>
    <t>dfixul.o</t>
  </si>
  <si>
    <t>cdrcmple.o</t>
  </si>
  <si>
    <t>uidiv.o</t>
  </si>
  <si>
    <t>memseta.o</t>
  </si>
  <si>
    <t>memcpya.o</t>
  </si>
  <si>
    <t>llsshr.o</t>
  </si>
  <si>
    <t>init.o</t>
  </si>
  <si>
    <t>llushr.o</t>
  </si>
  <si>
    <t>llshl.o</t>
  </si>
  <si>
    <t>handlers.o</t>
  </si>
  <si>
    <t>gd32f4xx_pmu.o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</si>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</sst>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ram_percent!$A$3:$A$41</c:f>
              <c:strCache>
                <c:ptCount val="39"/>
                <c:pt idx="0">
                  <c:v>startup_gd32f450_470.o</c:v>
                </c:pt>
                <c:pt idx="1">
                  <c:v>bl_core.o</c:v>
                </c:pt>
                <c:pt idx="2">
                  <c:v>mcu_cmic_gd32f470vet6.o</c:v>
                </c:pt>
                <c:pt idx="3">
                  <c:v>usart_app.o</c:v>
                </c:pt>
                <c:pt idx="4">
                  <c:v>oled.o</c:v>
                </c:pt>
                <c:pt idx="5">
                  <c:v>gd32f4xx_it.o</c:v>
                </c:pt>
                <c:pt idx="6">
                  <c:v>systick.o</c:v>
                </c:pt>
                <c:pt idx="7">
                  <c:v>system_gd32f4xx.o</c:v>
                </c:pt>
                <c:pt idx="38">
                  <c:v>Totals</c:v>
                </c:pt>
              </c:strCache>
            </c:strRef>
          </c:cat>
          <c:val>
            <c:numRef>
              <c:f>ram_percent!$B$3:$B$41</c:f>
              <c:numCache>
                <c:formatCode>General</c:formatCode>
                <c:ptCount val="39"/>
                <c:pt idx="0">
                  <c:v>42.56247711181641</c:v>
                </c:pt>
                <c:pt idx="1">
                  <c:v>42.56247711181641</c:v>
                </c:pt>
                <c:pt idx="2">
                  <c:v>13.32155704498291</c:v>
                </c:pt>
                <c:pt idx="3">
                  <c:v>1.345664262771606</c:v>
                </c:pt>
                <c:pt idx="4">
                  <c:v>0.1194991394877434</c:v>
                </c:pt>
                <c:pt idx="5">
                  <c:v>0.04676053300499916</c:v>
                </c:pt>
                <c:pt idx="6">
                  <c:v>0.02078245952725411</c:v>
                </c:pt>
                <c:pt idx="7">
                  <c:v>0.02078245952725411</c:v>
                </c:pt>
                <c:pt idx="3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flash_percent!$A$3:$A$41</c:f>
              <c:strCache>
                <c:ptCount val="39"/>
                <c:pt idx="0">
                  <c:v>bl_core.o</c:v>
                </c:pt>
                <c:pt idx="1">
                  <c:v>oled.o</c:v>
                </c:pt>
                <c:pt idx="2">
                  <c:v>mc_w.l</c:v>
                </c:pt>
                <c:pt idx="3">
                  <c:v>printfa.o</c:v>
                </c:pt>
                <c:pt idx="4">
                  <c:v>mf_w.l</c:v>
                </c:pt>
                <c:pt idx="5">
                  <c:v>mcu_cmic_gd32f470vet6.o</c:v>
                </c:pt>
                <c:pt idx="6">
                  <c:v>system_gd32f4xx.o</c:v>
                </c:pt>
                <c:pt idx="7">
                  <c:v>gd32f4xx_usart.o</c:v>
                </c:pt>
                <c:pt idx="8">
                  <c:v>startup_gd32f450_470.o</c:v>
                </c:pt>
                <c:pt idx="9">
                  <c:v>gd32f4xx_dma.o</c:v>
                </c:pt>
                <c:pt idx="10">
                  <c:v>gd32f4xx_i2c.o</c:v>
                </c:pt>
                <c:pt idx="11">
                  <c:v>gd32f4xx_fmc.o</c:v>
                </c:pt>
                <c:pt idx="12">
                  <c:v>dadd.o</c:v>
                </c:pt>
                <c:pt idx="13">
                  <c:v>gd32f4xx_it.o</c:v>
                </c:pt>
                <c:pt idx="14">
                  <c:v>gd32f4xx_rcu.o</c:v>
                </c:pt>
                <c:pt idx="15">
                  <c:v>gd32f4xx_gpio.o</c:v>
                </c:pt>
                <c:pt idx="16">
                  <c:v>gd32f4xx_misc.o</c:v>
                </c:pt>
                <c:pt idx="17">
                  <c:v>dmul.o</c:v>
                </c:pt>
                <c:pt idx="18">
                  <c:v>ddiv.o</c:v>
                </c:pt>
                <c:pt idx="19">
                  <c:v>depilogue.o</c:v>
                </c:pt>
                <c:pt idx="20">
                  <c:v>usart_app.o</c:v>
                </c:pt>
                <c:pt idx="21">
                  <c:v>systick.o</c:v>
                </c:pt>
                <c:pt idx="22">
                  <c:v>uldiv.o</c:v>
                </c:pt>
                <c:pt idx="23">
                  <c:v>main.o</c:v>
                </c:pt>
                <c:pt idx="24">
                  <c:v>dfixul.o</c:v>
                </c:pt>
                <c:pt idx="25">
                  <c:v>cdrcmple.o</c:v>
                </c:pt>
                <c:pt idx="26">
                  <c:v>uidiv.o</c:v>
                </c:pt>
                <c:pt idx="27">
                  <c:v>memseta.o</c:v>
                </c:pt>
                <c:pt idx="28">
                  <c:v>memcpya.o</c:v>
                </c:pt>
                <c:pt idx="29">
                  <c:v>llsshr.o</c:v>
                </c:pt>
                <c:pt idx="30">
                  <c:v>init.o</c:v>
                </c:pt>
                <c:pt idx="31">
                  <c:v>llushr.o</c:v>
                </c:pt>
                <c:pt idx="32">
                  <c:v>llshl.o</c:v>
                </c:pt>
                <c:pt idx="33">
                  <c:v>handlers.o</c:v>
                </c:pt>
                <c:pt idx="34">
                  <c:v>gd32f4xx_pmu.o</c:v>
                </c:pt>
                <c:pt idx="35">
                  <c:v>entry9a.o</c:v>
                </c:pt>
                <c:pt idx="36">
                  <c:v>entry2.o</c:v>
                </c:pt>
                <c:pt idx="37">
                  <c:v>entry5.o</c:v>
                </c:pt>
                <c:pt idx="38">
                  <c:v>Totals</c:v>
                </c:pt>
              </c:strCache>
            </c:strRef>
          </c:cat>
          <c:val>
            <c:numRef>
              <c:f>flash_percent!$B$3:$B$41</c:f>
              <c:numCache>
                <c:formatCode>General</c:formatCode>
                <c:ptCount val="39"/>
                <c:pt idx="0">
                  <c:v>18.6845817565918</c:v>
                </c:pt>
                <c:pt idx="1">
                  <c:v>18.33893203735352</c:v>
                </c:pt>
                <c:pt idx="2">
                  <c:v>13.38785839080811</c:v>
                </c:pt>
                <c:pt idx="3">
                  <c:v>11.450270652771</c:v>
                </c:pt>
                <c:pt idx="4">
                  <c:v>5.189620971679688</c:v>
                </c:pt>
                <c:pt idx="5">
                  <c:v>4.089382171630859</c:v>
                </c:pt>
                <c:pt idx="6">
                  <c:v>2.862567663192749</c:v>
                </c:pt>
                <c:pt idx="7">
                  <c:v>2.804147720336914</c:v>
                </c:pt>
                <c:pt idx="8">
                  <c:v>2.258896827697754</c:v>
                </c:pt>
                <c:pt idx="9">
                  <c:v>2.190740585327148</c:v>
                </c:pt>
                <c:pt idx="10">
                  <c:v>2.132320642471314</c:v>
                </c:pt>
                <c:pt idx="11">
                  <c:v>1.986271381378174</c:v>
                </c:pt>
                <c:pt idx="12">
                  <c:v>1.62601625919342</c:v>
                </c:pt>
                <c:pt idx="13">
                  <c:v>1.587069749832153</c:v>
                </c:pt>
                <c:pt idx="14">
                  <c:v>1.402073860168457</c:v>
                </c:pt>
                <c:pt idx="15">
                  <c:v>1.324180960655212</c:v>
                </c:pt>
                <c:pt idx="16">
                  <c:v>1.178131580352783</c:v>
                </c:pt>
                <c:pt idx="17">
                  <c:v>1.109975218772888</c:v>
                </c:pt>
                <c:pt idx="18">
                  <c:v>1.080765247344971</c:v>
                </c:pt>
                <c:pt idx="19">
                  <c:v>0.9055060744285584</c:v>
                </c:pt>
                <c:pt idx="20">
                  <c:v>0.7984032034873962</c:v>
                </c:pt>
                <c:pt idx="21">
                  <c:v>0.6913003325462341</c:v>
                </c:pt>
                <c:pt idx="22">
                  <c:v>0.4770945906639099</c:v>
                </c:pt>
                <c:pt idx="23">
                  <c:v>0.4284114837646484</c:v>
                </c:pt>
                <c:pt idx="24">
                  <c:v>0.2336789816617966</c:v>
                </c:pt>
                <c:pt idx="25">
                  <c:v>0.2336789816617966</c:v>
                </c:pt>
                <c:pt idx="26">
                  <c:v>0.2142057418823242</c:v>
                </c:pt>
                <c:pt idx="27">
                  <c:v>0.1752592325210571</c:v>
                </c:pt>
                <c:pt idx="28">
                  <c:v>0.1752592325210571</c:v>
                </c:pt>
                <c:pt idx="29">
                  <c:v>0.1752592325210571</c:v>
                </c:pt>
                <c:pt idx="30">
                  <c:v>0.1752592325210571</c:v>
                </c:pt>
                <c:pt idx="31">
                  <c:v>0.1557859927415848</c:v>
                </c:pt>
                <c:pt idx="32">
                  <c:v>0.146049365401268</c:v>
                </c:pt>
                <c:pt idx="33">
                  <c:v>0.146049365401268</c:v>
                </c:pt>
                <c:pt idx="34">
                  <c:v>0.08762961626052856</c:v>
                </c:pt>
                <c:pt idx="35">
                  <c:v>0.03894649818539619</c:v>
                </c:pt>
                <c:pt idx="36">
                  <c:v>0.03894649818539619</c:v>
                </c:pt>
                <c:pt idx="37">
                  <c:v>0.0194732490926981</c:v>
                </c:pt>
                <c:pt idx="3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1" totalsRowCount="1">
  <autoFilter ref="A2:H40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1" totalsRowCount="1">
  <autoFilter ref="A2:H40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1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39</v>
      </c>
      <c r="B2" t="s">
        <v>41</v>
      </c>
      <c r="C2" t="s">
        <v>42</v>
      </c>
      <c r="D2" t="s">
        <v>43</v>
      </c>
      <c r="E2" t="s">
        <v>44</v>
      </c>
      <c r="F2" t="s">
        <v>45</v>
      </c>
      <c r="G2" t="s">
        <v>46</v>
      </c>
      <c r="H2" t="s">
        <v>47</v>
      </c>
    </row>
    <row r="3" spans="1:8">
      <c r="A3" s="1" t="s">
        <v>1</v>
      </c>
      <c r="B3" s="2">
        <v>42.56247711181641</v>
      </c>
      <c r="C3" s="1">
        <v>8192</v>
      </c>
      <c r="D3" s="1">
        <v>464</v>
      </c>
      <c r="E3" s="1">
        <v>36</v>
      </c>
      <c r="F3" s="1">
        <v>428</v>
      </c>
      <c r="G3" s="1">
        <v>0</v>
      </c>
      <c r="H3" s="1">
        <v>8192</v>
      </c>
    </row>
    <row r="4" spans="1:8">
      <c r="A4" s="1" t="s">
        <v>2</v>
      </c>
      <c r="B4" s="2">
        <v>42.56247711181641</v>
      </c>
      <c r="C4" s="1">
        <v>8192</v>
      </c>
      <c r="D4" s="1">
        <v>3838</v>
      </c>
      <c r="E4" s="1">
        <v>3762</v>
      </c>
      <c r="F4" s="1">
        <v>76</v>
      </c>
      <c r="G4" s="1">
        <v>0</v>
      </c>
      <c r="H4" s="1">
        <v>8192</v>
      </c>
    </row>
    <row r="5" spans="1:8">
      <c r="A5" s="1" t="s">
        <v>3</v>
      </c>
      <c r="B5" s="2">
        <v>13.32155704498291</v>
      </c>
      <c r="C5" s="1">
        <v>2564</v>
      </c>
      <c r="D5" s="1">
        <v>840</v>
      </c>
      <c r="E5" s="1">
        <v>838</v>
      </c>
      <c r="F5" s="1">
        <v>0</v>
      </c>
      <c r="G5" s="1">
        <v>2</v>
      </c>
      <c r="H5" s="1">
        <v>2562</v>
      </c>
    </row>
    <row r="6" spans="1:8">
      <c r="A6" s="1" t="s">
        <v>4</v>
      </c>
      <c r="B6" s="2">
        <v>1.345664262771606</v>
      </c>
      <c r="C6" s="1">
        <v>259</v>
      </c>
      <c r="D6" s="1">
        <v>164</v>
      </c>
      <c r="E6" s="1">
        <v>164</v>
      </c>
      <c r="F6" s="1">
        <v>0</v>
      </c>
      <c r="G6" s="1">
        <v>0</v>
      </c>
      <c r="H6" s="1">
        <v>259</v>
      </c>
    </row>
    <row r="7" spans="1:8">
      <c r="A7" s="1" t="s">
        <v>5</v>
      </c>
      <c r="B7" s="2">
        <v>0.1194991394877434</v>
      </c>
      <c r="C7" s="1">
        <v>23</v>
      </c>
      <c r="D7" s="1">
        <v>3767</v>
      </c>
      <c r="E7" s="1">
        <v>1672</v>
      </c>
      <c r="F7" s="1">
        <v>2072</v>
      </c>
      <c r="G7" s="1">
        <v>23</v>
      </c>
      <c r="H7" s="1">
        <v>0</v>
      </c>
    </row>
    <row r="8" spans="1:8">
      <c r="A8" s="1" t="s">
        <v>6</v>
      </c>
      <c r="B8" s="2">
        <v>0.04676053300499916</v>
      </c>
      <c r="C8" s="1">
        <v>9</v>
      </c>
      <c r="D8" s="1">
        <v>326</v>
      </c>
      <c r="E8" s="1">
        <v>326</v>
      </c>
      <c r="F8" s="1">
        <v>0</v>
      </c>
      <c r="G8" s="1">
        <v>0</v>
      </c>
      <c r="H8" s="1">
        <v>9</v>
      </c>
    </row>
    <row r="9" spans="1:8">
      <c r="A9" s="1" t="s">
        <v>7</v>
      </c>
      <c r="B9" s="2">
        <v>0.02078245952725411</v>
      </c>
      <c r="C9" s="1">
        <v>4</v>
      </c>
      <c r="D9" s="1">
        <v>142</v>
      </c>
      <c r="E9" s="1">
        <v>142</v>
      </c>
      <c r="F9" s="1">
        <v>0</v>
      </c>
      <c r="G9" s="1">
        <v>0</v>
      </c>
      <c r="H9" s="1">
        <v>4</v>
      </c>
    </row>
    <row r="10" spans="1:8">
      <c r="A10" s="1" t="s">
        <v>8</v>
      </c>
      <c r="B10" s="2">
        <v>0.02078245952725411</v>
      </c>
      <c r="C10" s="1">
        <v>4</v>
      </c>
      <c r="D10" s="1">
        <v>588</v>
      </c>
      <c r="E10" s="1">
        <v>584</v>
      </c>
      <c r="F10" s="1">
        <v>0</v>
      </c>
      <c r="G10" s="1">
        <v>4</v>
      </c>
      <c r="H10" s="1">
        <v>0</v>
      </c>
    </row>
    <row r="41" spans="1:8">
      <c r="A41" t="s">
        <v>40</v>
      </c>
      <c r="B41">
        <f>SUBTOTAL(109,[ram_percent])</f>
        <v>0</v>
      </c>
      <c r="C41">
        <f>SUBTOTAL(109,[ram])</f>
        <v>0</v>
      </c>
      <c r="D41">
        <f>SUBTOTAL(109,[flash])</f>
        <v>0</v>
      </c>
      <c r="E41">
        <f>SUBTOTAL(109,[Code])</f>
        <v>0</v>
      </c>
      <c r="F41">
        <f>SUBTOTAL(109,[RO_data])</f>
        <v>0</v>
      </c>
      <c r="G41">
        <f>SUBTOTAL(109,[RW_data])</f>
        <v>0</v>
      </c>
      <c r="H4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1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39</v>
      </c>
      <c r="B2" t="s">
        <v>48</v>
      </c>
      <c r="C2" t="s">
        <v>43</v>
      </c>
      <c r="D2" t="s">
        <v>42</v>
      </c>
      <c r="E2" t="s">
        <v>44</v>
      </c>
      <c r="F2" t="s">
        <v>45</v>
      </c>
      <c r="G2" t="s">
        <v>46</v>
      </c>
      <c r="H2" t="s">
        <v>47</v>
      </c>
    </row>
    <row r="3" spans="1:8">
      <c r="A3" s="1" t="s">
        <v>2</v>
      </c>
      <c r="B3" s="2">
        <v>18.6845817565918</v>
      </c>
      <c r="C3" s="1">
        <v>3838</v>
      </c>
      <c r="D3" s="1">
        <v>8192</v>
      </c>
      <c r="E3" s="1">
        <v>3762</v>
      </c>
      <c r="F3" s="1">
        <v>76</v>
      </c>
      <c r="G3" s="1">
        <v>0</v>
      </c>
      <c r="H3" s="1">
        <v>8192</v>
      </c>
    </row>
    <row r="4" spans="1:8">
      <c r="A4" s="1" t="s">
        <v>5</v>
      </c>
      <c r="B4" s="2">
        <v>18.33893203735352</v>
      </c>
      <c r="C4" s="1">
        <v>3767</v>
      </c>
      <c r="D4" s="1">
        <v>23</v>
      </c>
      <c r="E4" s="1">
        <v>1672</v>
      </c>
      <c r="F4" s="1">
        <v>2072</v>
      </c>
      <c r="G4" s="1">
        <v>23</v>
      </c>
      <c r="H4" s="1">
        <v>0</v>
      </c>
    </row>
    <row r="5" spans="1:8">
      <c r="A5" s="1" t="s">
        <v>9</v>
      </c>
      <c r="B5" s="2">
        <v>13.38785839080811</v>
      </c>
      <c r="C5" s="1">
        <v>2750</v>
      </c>
      <c r="D5" s="1">
        <v>0</v>
      </c>
      <c r="E5" s="1">
        <v>2750</v>
      </c>
      <c r="F5" s="1">
        <v>0</v>
      </c>
      <c r="G5" s="1">
        <v>0</v>
      </c>
      <c r="H5" s="1">
        <v>0</v>
      </c>
    </row>
    <row r="6" spans="1:8">
      <c r="A6" s="1" t="s">
        <v>10</v>
      </c>
      <c r="B6" s="2">
        <v>11.450270652771</v>
      </c>
      <c r="C6" s="1">
        <v>2352</v>
      </c>
      <c r="D6" s="1">
        <v>0</v>
      </c>
      <c r="E6" s="1">
        <v>2352</v>
      </c>
      <c r="F6" s="1">
        <v>0</v>
      </c>
      <c r="G6" s="1">
        <v>0</v>
      </c>
      <c r="H6" s="1">
        <v>0</v>
      </c>
    </row>
    <row r="7" spans="1:8">
      <c r="A7" s="1" t="s">
        <v>11</v>
      </c>
      <c r="B7" s="2">
        <v>5.189620971679688</v>
      </c>
      <c r="C7" s="1">
        <v>1066</v>
      </c>
      <c r="D7" s="1">
        <v>0</v>
      </c>
      <c r="E7" s="1">
        <v>1066</v>
      </c>
      <c r="F7" s="1">
        <v>0</v>
      </c>
      <c r="G7" s="1">
        <v>0</v>
      </c>
      <c r="H7" s="1">
        <v>0</v>
      </c>
    </row>
    <row r="8" spans="1:8">
      <c r="A8" s="1" t="s">
        <v>3</v>
      </c>
      <c r="B8" s="2">
        <v>4.089382171630859</v>
      </c>
      <c r="C8" s="1">
        <v>840</v>
      </c>
      <c r="D8" s="1">
        <v>2564</v>
      </c>
      <c r="E8" s="1">
        <v>838</v>
      </c>
      <c r="F8" s="1">
        <v>0</v>
      </c>
      <c r="G8" s="1">
        <v>2</v>
      </c>
      <c r="H8" s="1">
        <v>2562</v>
      </c>
    </row>
    <row r="9" spans="1:8">
      <c r="A9" s="1" t="s">
        <v>8</v>
      </c>
      <c r="B9" s="2">
        <v>2.862567663192749</v>
      </c>
      <c r="C9" s="1">
        <v>588</v>
      </c>
      <c r="D9" s="1">
        <v>4</v>
      </c>
      <c r="E9" s="1">
        <v>584</v>
      </c>
      <c r="F9" s="1">
        <v>0</v>
      </c>
      <c r="G9" s="1">
        <v>4</v>
      </c>
      <c r="H9" s="1">
        <v>0</v>
      </c>
    </row>
    <row r="10" spans="1:8">
      <c r="A10" s="1" t="s">
        <v>12</v>
      </c>
      <c r="B10" s="2">
        <v>2.804147720336914</v>
      </c>
      <c r="C10" s="1">
        <v>576</v>
      </c>
      <c r="D10" s="1">
        <v>0</v>
      </c>
      <c r="E10" s="1">
        <v>576</v>
      </c>
      <c r="F10" s="1">
        <v>0</v>
      </c>
      <c r="G10" s="1">
        <v>0</v>
      </c>
      <c r="H10" s="1">
        <v>0</v>
      </c>
    </row>
    <row r="11" spans="1:8">
      <c r="A11" s="1" t="s">
        <v>1</v>
      </c>
      <c r="B11" s="2">
        <v>2.258896827697754</v>
      </c>
      <c r="C11" s="1">
        <v>464</v>
      </c>
      <c r="D11" s="1">
        <v>8192</v>
      </c>
      <c r="E11" s="1">
        <v>36</v>
      </c>
      <c r="F11" s="1">
        <v>428</v>
      </c>
      <c r="G11" s="1">
        <v>0</v>
      </c>
      <c r="H11" s="1">
        <v>8192</v>
      </c>
    </row>
    <row r="12" spans="1:8">
      <c r="A12" s="1" t="s">
        <v>13</v>
      </c>
      <c r="B12" s="2">
        <v>2.190740585327148</v>
      </c>
      <c r="C12" s="1">
        <v>450</v>
      </c>
      <c r="D12" s="1">
        <v>0</v>
      </c>
      <c r="E12" s="1">
        <v>450</v>
      </c>
      <c r="F12" s="1">
        <v>0</v>
      </c>
      <c r="G12" s="1">
        <v>0</v>
      </c>
      <c r="H12" s="1">
        <v>0</v>
      </c>
    </row>
    <row r="13" spans="1:8">
      <c r="A13" s="1" t="s">
        <v>14</v>
      </c>
      <c r="B13" s="2">
        <v>2.132320642471314</v>
      </c>
      <c r="C13" s="1">
        <v>438</v>
      </c>
      <c r="D13" s="1">
        <v>0</v>
      </c>
      <c r="E13" s="1">
        <v>438</v>
      </c>
      <c r="F13" s="1">
        <v>0</v>
      </c>
      <c r="G13" s="1">
        <v>0</v>
      </c>
      <c r="H13" s="1">
        <v>0</v>
      </c>
    </row>
    <row r="14" spans="1:8">
      <c r="A14" s="1" t="s">
        <v>15</v>
      </c>
      <c r="B14" s="2">
        <v>1.986271381378174</v>
      </c>
      <c r="C14" s="1">
        <v>408</v>
      </c>
      <c r="D14" s="1">
        <v>0</v>
      </c>
      <c r="E14" s="1">
        <v>408</v>
      </c>
      <c r="F14" s="1">
        <v>0</v>
      </c>
      <c r="G14" s="1">
        <v>0</v>
      </c>
      <c r="H14" s="1">
        <v>0</v>
      </c>
    </row>
    <row r="15" spans="1:8">
      <c r="A15" s="1" t="s">
        <v>16</v>
      </c>
      <c r="B15" s="2">
        <v>1.62601625919342</v>
      </c>
      <c r="C15" s="1">
        <v>334</v>
      </c>
      <c r="D15" s="1">
        <v>0</v>
      </c>
      <c r="E15" s="1">
        <v>334</v>
      </c>
      <c r="F15" s="1">
        <v>0</v>
      </c>
      <c r="G15" s="1">
        <v>0</v>
      </c>
      <c r="H15" s="1">
        <v>0</v>
      </c>
    </row>
    <row r="16" spans="1:8">
      <c r="A16" s="1" t="s">
        <v>6</v>
      </c>
      <c r="B16" s="2">
        <v>1.587069749832153</v>
      </c>
      <c r="C16" s="1">
        <v>326</v>
      </c>
      <c r="D16" s="1">
        <v>9</v>
      </c>
      <c r="E16" s="1">
        <v>326</v>
      </c>
      <c r="F16" s="1">
        <v>0</v>
      </c>
      <c r="G16" s="1">
        <v>0</v>
      </c>
      <c r="H16" s="1">
        <v>9</v>
      </c>
    </row>
    <row r="17" spans="1:8">
      <c r="A17" s="1" t="s">
        <v>17</v>
      </c>
      <c r="B17" s="2">
        <v>1.402073860168457</v>
      </c>
      <c r="C17" s="1">
        <v>288</v>
      </c>
      <c r="D17" s="1">
        <v>0</v>
      </c>
      <c r="E17" s="1">
        <v>288</v>
      </c>
      <c r="F17" s="1">
        <v>0</v>
      </c>
      <c r="G17" s="1">
        <v>0</v>
      </c>
      <c r="H17" s="1">
        <v>0</v>
      </c>
    </row>
    <row r="18" spans="1:8">
      <c r="A18" s="1" t="s">
        <v>18</v>
      </c>
      <c r="B18" s="2">
        <v>1.324180960655212</v>
      </c>
      <c r="C18" s="1">
        <v>272</v>
      </c>
      <c r="D18" s="1">
        <v>0</v>
      </c>
      <c r="E18" s="1">
        <v>272</v>
      </c>
      <c r="F18" s="1">
        <v>0</v>
      </c>
      <c r="G18" s="1">
        <v>0</v>
      </c>
      <c r="H18" s="1">
        <v>0</v>
      </c>
    </row>
    <row r="19" spans="1:8">
      <c r="A19" s="1" t="s">
        <v>19</v>
      </c>
      <c r="B19" s="2">
        <v>1.178131580352783</v>
      </c>
      <c r="C19" s="1">
        <v>242</v>
      </c>
      <c r="D19" s="1">
        <v>0</v>
      </c>
      <c r="E19" s="1">
        <v>242</v>
      </c>
      <c r="F19" s="1">
        <v>0</v>
      </c>
      <c r="G19" s="1">
        <v>0</v>
      </c>
      <c r="H19" s="1">
        <v>0</v>
      </c>
    </row>
    <row r="20" spans="1:8">
      <c r="A20" s="1" t="s">
        <v>20</v>
      </c>
      <c r="B20" s="2">
        <v>1.109975218772888</v>
      </c>
      <c r="C20" s="1">
        <v>228</v>
      </c>
      <c r="D20" s="1">
        <v>0</v>
      </c>
      <c r="E20" s="1">
        <v>228</v>
      </c>
      <c r="F20" s="1">
        <v>0</v>
      </c>
      <c r="G20" s="1">
        <v>0</v>
      </c>
      <c r="H20" s="1">
        <v>0</v>
      </c>
    </row>
    <row r="21" spans="1:8">
      <c r="A21" s="1" t="s">
        <v>21</v>
      </c>
      <c r="B21" s="2">
        <v>1.080765247344971</v>
      </c>
      <c r="C21" s="1">
        <v>222</v>
      </c>
      <c r="D21" s="1">
        <v>0</v>
      </c>
      <c r="E21" s="1">
        <v>222</v>
      </c>
      <c r="F21" s="1">
        <v>0</v>
      </c>
      <c r="G21" s="1">
        <v>0</v>
      </c>
      <c r="H21" s="1">
        <v>0</v>
      </c>
    </row>
    <row r="22" spans="1:8">
      <c r="A22" s="1" t="s">
        <v>22</v>
      </c>
      <c r="B22" s="2">
        <v>0.9055060744285584</v>
      </c>
      <c r="C22" s="1">
        <v>186</v>
      </c>
      <c r="D22" s="1">
        <v>0</v>
      </c>
      <c r="E22" s="1">
        <v>186</v>
      </c>
      <c r="F22" s="1">
        <v>0</v>
      </c>
      <c r="G22" s="1">
        <v>0</v>
      </c>
      <c r="H22" s="1">
        <v>0</v>
      </c>
    </row>
    <row r="23" spans="1:8">
      <c r="A23" s="1" t="s">
        <v>4</v>
      </c>
      <c r="B23" s="2">
        <v>0.7984032034873962</v>
      </c>
      <c r="C23" s="1">
        <v>164</v>
      </c>
      <c r="D23" s="1">
        <v>259</v>
      </c>
      <c r="E23" s="1">
        <v>164</v>
      </c>
      <c r="F23" s="1">
        <v>0</v>
      </c>
      <c r="G23" s="1">
        <v>0</v>
      </c>
      <c r="H23" s="1">
        <v>259</v>
      </c>
    </row>
    <row r="24" spans="1:8">
      <c r="A24" s="1" t="s">
        <v>7</v>
      </c>
      <c r="B24" s="2">
        <v>0.6913003325462341</v>
      </c>
      <c r="C24" s="1">
        <v>142</v>
      </c>
      <c r="D24" s="1">
        <v>4</v>
      </c>
      <c r="E24" s="1">
        <v>142</v>
      </c>
      <c r="F24" s="1">
        <v>0</v>
      </c>
      <c r="G24" s="1">
        <v>0</v>
      </c>
      <c r="H24" s="1">
        <v>4</v>
      </c>
    </row>
    <row r="25" spans="1:8">
      <c r="A25" s="1" t="s">
        <v>23</v>
      </c>
      <c r="B25" s="2">
        <v>0.4770945906639099</v>
      </c>
      <c r="C25" s="1">
        <v>98</v>
      </c>
      <c r="D25" s="1">
        <v>0</v>
      </c>
      <c r="E25" s="1">
        <v>98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0.4284114837646484</v>
      </c>
      <c r="C26" s="1">
        <v>88</v>
      </c>
      <c r="D26" s="1">
        <v>0</v>
      </c>
      <c r="E26" s="1">
        <v>88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0.2336789816617966</v>
      </c>
      <c r="C27" s="1">
        <v>48</v>
      </c>
      <c r="D27" s="1">
        <v>0</v>
      </c>
      <c r="E27" s="1">
        <v>48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0.2336789816617966</v>
      </c>
      <c r="C28" s="1">
        <v>48</v>
      </c>
      <c r="D28" s="1">
        <v>0</v>
      </c>
      <c r="E28" s="1">
        <v>48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0.2142057418823242</v>
      </c>
      <c r="C29" s="1">
        <v>44</v>
      </c>
      <c r="D29" s="1">
        <v>0</v>
      </c>
      <c r="E29" s="1">
        <v>44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0.1752592325210571</v>
      </c>
      <c r="C30" s="1">
        <v>36</v>
      </c>
      <c r="D30" s="1">
        <v>0</v>
      </c>
      <c r="E30" s="1">
        <v>36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0.1752592325210571</v>
      </c>
      <c r="C31" s="1">
        <v>36</v>
      </c>
      <c r="D31" s="1">
        <v>0</v>
      </c>
      <c r="E31" s="1">
        <v>36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0.1752592325210571</v>
      </c>
      <c r="C32" s="1">
        <v>36</v>
      </c>
      <c r="D32" s="1">
        <v>0</v>
      </c>
      <c r="E32" s="1">
        <v>36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0.1752592325210571</v>
      </c>
      <c r="C33" s="1">
        <v>36</v>
      </c>
      <c r="D33" s="1">
        <v>0</v>
      </c>
      <c r="E33" s="1">
        <v>36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0.1557859927415848</v>
      </c>
      <c r="C34" s="1">
        <v>32</v>
      </c>
      <c r="D34" s="1">
        <v>0</v>
      </c>
      <c r="E34" s="1">
        <v>32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0.146049365401268</v>
      </c>
      <c r="C35" s="1">
        <v>30</v>
      </c>
      <c r="D35" s="1">
        <v>0</v>
      </c>
      <c r="E35" s="1">
        <v>30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0.146049365401268</v>
      </c>
      <c r="C36" s="1">
        <v>30</v>
      </c>
      <c r="D36" s="1">
        <v>0</v>
      </c>
      <c r="E36" s="1">
        <v>30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0.08762961626052856</v>
      </c>
      <c r="C37" s="1">
        <v>18</v>
      </c>
      <c r="D37" s="1">
        <v>0</v>
      </c>
      <c r="E37" s="1">
        <v>18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0.03894649818539619</v>
      </c>
      <c r="C38" s="1">
        <v>8</v>
      </c>
      <c r="D38" s="1">
        <v>0</v>
      </c>
      <c r="E38" s="1">
        <v>8</v>
      </c>
      <c r="F38" s="1">
        <v>0</v>
      </c>
      <c r="G38" s="1">
        <v>0</v>
      </c>
      <c r="H38" s="1">
        <v>0</v>
      </c>
    </row>
    <row r="39" spans="1:8">
      <c r="A39" s="1" t="s">
        <v>37</v>
      </c>
      <c r="B39" s="2">
        <v>0.03894649818539619</v>
      </c>
      <c r="C39" s="1">
        <v>8</v>
      </c>
      <c r="D39" s="1">
        <v>0</v>
      </c>
      <c r="E39" s="1">
        <v>8</v>
      </c>
      <c r="F39" s="1">
        <v>0</v>
      </c>
      <c r="G39" s="1">
        <v>0</v>
      </c>
      <c r="H39" s="1">
        <v>0</v>
      </c>
    </row>
    <row r="40" spans="1:8">
      <c r="A40" s="1" t="s">
        <v>38</v>
      </c>
      <c r="B40" s="2">
        <v>0.0194732490926981</v>
      </c>
      <c r="C40" s="1">
        <v>4</v>
      </c>
      <c r="D40" s="1">
        <v>0</v>
      </c>
      <c r="E40" s="1">
        <v>4</v>
      </c>
      <c r="F40" s="1">
        <v>0</v>
      </c>
      <c r="G40" s="1">
        <v>0</v>
      </c>
      <c r="H40" s="1">
        <v>0</v>
      </c>
    </row>
    <row r="41" spans="1:8">
      <c r="A41" t="s">
        <v>40</v>
      </c>
      <c r="B41">
        <f>SUBTOTAL(109,[flash_percent])</f>
        <v>0</v>
      </c>
      <c r="C41">
        <f>SUBTOTAL(109,[flash])</f>
        <v>0</v>
      </c>
      <c r="D41">
        <f>SUBTOTAL(109,[ram])</f>
        <v>0</v>
      </c>
      <c r="E41">
        <f>SUBTOTAL(109,[Code])</f>
        <v>0</v>
      </c>
      <c r="F41">
        <f>SUBTOTAL(109,[RO_data])</f>
        <v>0</v>
      </c>
      <c r="G41">
        <f>SUBTOTAL(109,[RW_data])</f>
        <v>0</v>
      </c>
      <c r="H4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2026-06-07T08:53:10Z</dcterms:created>
  <dcterms:modified xsi:type="dcterms:W3CDTF">2026-06-07T08:53:10Z</dcterms:modified>
</cp:coreProperties>
</file>